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814db0bc96b364d5/Documenti/GitHub/Epicool/"/>
    </mc:Choice>
  </mc:AlternateContent>
  <xr:revisionPtr revIDLastSave="12" documentId="13_ncr:1_{DF96AA2E-B3A9-423E-AAF4-564D1B6F5B84}" xr6:coauthVersionLast="47" xr6:coauthVersionMax="47" xr10:uidLastSave="{3BFA6F2F-006B-4FC6-90B2-4BEA1E130B9F}"/>
  <bookViews>
    <workbookView minimized="1" xWindow="2964" yWindow="2964" windowWidth="17280" windowHeight="8880" activeTab="4" xr2:uid="{11D7C691-A8B0-49B9-BC93-5B4E0DF810BB}"/>
  </bookViews>
  <sheets>
    <sheet name="Corsi" sheetId="1" r:id="rId1"/>
    <sheet name="Docenti" sheetId="2" r:id="rId2"/>
    <sheet name="Sedi" sheetId="3" r:id="rId3"/>
    <sheet name="Maschera d'inserimento" sheetId="4" r:id="rId4"/>
    <sheet name="Maschera di ricerca" sheetId="6" r:id="rId5"/>
    <sheet name="Foglio tecnico" sheetId="5" r:id="rId6"/>
  </sheets>
  <definedNames>
    <definedName name="Lista_Docenti">Docenti[Nominativo]</definedName>
    <definedName name="Lista_Materie">_xlfn.ANCHORARRAY('Foglio tecnico'!$A$2)</definedName>
    <definedName name="Lista_Sedi">Sedi[Aula]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5" i="6" l="1" a="1"/>
  <c r="I5" i="6" s="1"/>
  <c r="F5" i="6" a="1"/>
  <c r="F5" i="6" s="1"/>
  <c r="C5" i="6" a="1"/>
  <c r="C5" i="6" s="1"/>
  <c r="B2" i="2"/>
  <c r="B3" i="2"/>
  <c r="B4" i="2"/>
  <c r="B5" i="2"/>
  <c r="B6" i="2"/>
  <c r="B7" i="2"/>
  <c r="B8" i="2"/>
  <c r="B9" i="2"/>
  <c r="B10" i="2"/>
  <c r="B11" i="2"/>
  <c r="A27" i="1"/>
  <c r="A12" i="1"/>
  <c r="A4" i="1"/>
  <c r="A10" i="1"/>
  <c r="A2" i="1"/>
  <c r="A6" i="1"/>
  <c r="A14" i="1"/>
  <c r="A2" i="5" a="1"/>
  <c r="A2" i="5" s="1"/>
  <c r="G3" i="1"/>
  <c r="E3" i="1" s="1"/>
  <c r="G4" i="1"/>
  <c r="E4" i="1" s="1"/>
  <c r="G5" i="1"/>
  <c r="E5" i="1" s="1"/>
  <c r="G6" i="1"/>
  <c r="E6" i="1" s="1"/>
  <c r="G7" i="1"/>
  <c r="E7" i="1" s="1"/>
  <c r="G8" i="1"/>
  <c r="E8" i="1" s="1"/>
  <c r="L5" i="6" s="1" a="1"/>
  <c r="L5" i="6" s="1"/>
  <c r="G9" i="1"/>
  <c r="E9" i="1" s="1"/>
  <c r="G10" i="1"/>
  <c r="E10" i="1" s="1"/>
  <c r="G11" i="1"/>
  <c r="E11" i="1" s="1"/>
  <c r="G12" i="1"/>
  <c r="E12" i="1" s="1"/>
  <c r="G13" i="1"/>
  <c r="E13" i="1" s="1"/>
  <c r="G14" i="1"/>
  <c r="E14" i="1" s="1"/>
  <c r="G15" i="1"/>
  <c r="E15" i="1" s="1"/>
  <c r="G16" i="1"/>
  <c r="E16" i="1" s="1"/>
  <c r="G17" i="1"/>
  <c r="E17" i="1" s="1"/>
  <c r="G18" i="1"/>
  <c r="E18" i="1" s="1"/>
  <c r="G19" i="1"/>
  <c r="E19" i="1" s="1"/>
  <c r="G20" i="1"/>
  <c r="E20" i="1" s="1"/>
  <c r="G21" i="1"/>
  <c r="E21" i="1" s="1"/>
  <c r="G22" i="1"/>
  <c r="E22" i="1" s="1"/>
  <c r="G23" i="1"/>
  <c r="E23" i="1" s="1"/>
  <c r="G24" i="1"/>
  <c r="E24" i="1" s="1"/>
  <c r="G25" i="1"/>
  <c r="E25" i="1" s="1"/>
  <c r="G26" i="1"/>
  <c r="E26" i="1" s="1"/>
  <c r="G27" i="1"/>
  <c r="E27" i="1" s="1"/>
  <c r="G28" i="1"/>
  <c r="E28" i="1" s="1"/>
  <c r="G29" i="1"/>
  <c r="E29" i="1" s="1"/>
  <c r="G30" i="1"/>
  <c r="E30" i="1" s="1"/>
  <c r="G31" i="1"/>
  <c r="E31" i="1" s="1"/>
  <c r="G2" i="1"/>
  <c r="E2" i="1" s="1"/>
  <c r="A3" i="1"/>
  <c r="A17" i="1"/>
  <c r="A18" i="1"/>
  <c r="A19" i="1"/>
  <c r="A20" i="1"/>
  <c r="A21" i="1"/>
  <c r="A22" i="1"/>
  <c r="A23" i="1"/>
  <c r="A24" i="1"/>
  <c r="A28" i="1"/>
  <c r="A30" i="1"/>
  <c r="O5" i="6" l="1" a="1"/>
  <c r="O5" i="6" s="1"/>
  <c r="A25" i="1"/>
  <c r="A5" i="1"/>
  <c r="A26" i="1"/>
  <c r="A9" i="1"/>
  <c r="A31" i="1"/>
  <c r="A15" i="1"/>
  <c r="A29" i="1"/>
  <c r="A7" i="1"/>
  <c r="A13" i="1"/>
  <c r="A16" i="1"/>
  <c r="A11" i="1"/>
  <c r="A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<sst xmlns="http://schemas.openxmlformats.org/spreadsheetml/2006/main" count="200" uniqueCount="65">
  <si>
    <t>Prezzo</t>
  </si>
  <si>
    <t>Inizio</t>
  </si>
  <si>
    <t>Fine</t>
  </si>
  <si>
    <t>Docente</t>
  </si>
  <si>
    <t>Sede</t>
  </si>
  <si>
    <t>Materia</t>
  </si>
  <si>
    <t>Durata (h)</t>
  </si>
  <si>
    <t>Corso</t>
  </si>
  <si>
    <t>Bari</t>
  </si>
  <si>
    <t>Bologna</t>
  </si>
  <si>
    <t>Online</t>
  </si>
  <si>
    <t>Napoli</t>
  </si>
  <si>
    <t>Carmela Gerace</t>
  </si>
  <si>
    <t>Tullio Andreatta</t>
  </si>
  <si>
    <t>Simone Simoncelli</t>
  </si>
  <si>
    <t>Laura Balzani</t>
  </si>
  <si>
    <t>Paola De Antoniis</t>
  </si>
  <si>
    <t>Michele Turetta</t>
  </si>
  <si>
    <t>Gianpaolo Santana</t>
  </si>
  <si>
    <t>Nicola Erbetto</t>
  </si>
  <si>
    <t>Mariana Dalla Lupa</t>
  </si>
  <si>
    <t>Anna Levi</t>
  </si>
  <si>
    <t>Inglese</t>
  </si>
  <si>
    <t>Matematica</t>
  </si>
  <si>
    <t>Italiano</t>
  </si>
  <si>
    <t>Fisica</t>
  </si>
  <si>
    <t>Codice corso</t>
  </si>
  <si>
    <t>English A2</t>
  </si>
  <si>
    <t>English B1</t>
  </si>
  <si>
    <t>English B2</t>
  </si>
  <si>
    <t>Letteratura</t>
  </si>
  <si>
    <t>Grammatica</t>
  </si>
  <si>
    <t>Italiano per stranieri</t>
  </si>
  <si>
    <t>Analisi</t>
  </si>
  <si>
    <t>Geometria</t>
  </si>
  <si>
    <t>Trigonometria</t>
  </si>
  <si>
    <t>Meccanica</t>
  </si>
  <si>
    <t>Termodinamica</t>
  </si>
  <si>
    <t>Elettromagnetismo</t>
  </si>
  <si>
    <t>Prezzo orario</t>
  </si>
  <si>
    <t>Nominativo</t>
  </si>
  <si>
    <t>ID</t>
  </si>
  <si>
    <t>Residenza</t>
  </si>
  <si>
    <t>Data Nascita</t>
  </si>
  <si>
    <t>Torre del Greco</t>
  </si>
  <si>
    <t>Cadriano</t>
  </si>
  <si>
    <t>Milano</t>
  </si>
  <si>
    <t>Rho</t>
  </si>
  <si>
    <t>Molfetta</t>
  </si>
  <si>
    <t>Cuneo</t>
  </si>
  <si>
    <t>Aula</t>
  </si>
  <si>
    <t>Indirizzo</t>
  </si>
  <si>
    <t>Capienza</t>
  </si>
  <si>
    <t>Viale Salandra, 19C</t>
  </si>
  <si>
    <t>Via Oleari, 4</t>
  </si>
  <si>
    <t>Via Brombeis, 52</t>
  </si>
  <si>
    <t>www.epicool.edu</t>
  </si>
  <si>
    <t>Ore settimanali</t>
  </si>
  <si>
    <t>Dicitura corso</t>
  </si>
  <si>
    <t>Data Inizio</t>
  </si>
  <si>
    <t>Data Fine</t>
  </si>
  <si>
    <t>Materie</t>
  </si>
  <si>
    <t>Nominativo Docente</t>
  </si>
  <si>
    <t>Data di nascita</t>
  </si>
  <si>
    <t>Città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</si>
</sst>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0\ [$€-410]"/>
    <numFmt numFmtId="165" formatCode="_-[$€-2]\ * #,##0.00_-;\-[$€-2]\ * #,##0.00_-;_-[$€-2]\ * &quot;-&quot;??_-;_-@_-"/>
  </numFmts>
  <fonts count="5" x14ac:knownFonts="1">
    <font>
      <sz val="9"/>
      <color theme="1"/>
      <name val="Calibri"/>
      <family val="2"/>
    </font>
    <font>
      <b/>
      <sz val="9"/>
      <color theme="1"/>
      <name val="Calibri"/>
      <family val="2"/>
    </font>
    <font>
      <sz val="8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0" fontId="1" fillId="0" borderId="1" xfId="0" applyFont="1" applyBorder="1"/>
    <xf numFmtId="0" fontId="0" fillId="0" borderId="2" xfId="0" applyBorder="1" applyAlignment="1">
      <alignment vertical="center" wrapText="1"/>
    </xf>
    <xf numFmtId="0" fontId="0" fillId="0" borderId="2" xfId="0" applyBorder="1" applyAlignment="1">
      <alignment horizontal="left" vertical="center" wrapText="1"/>
    </xf>
    <xf numFmtId="14" fontId="0" fillId="0" borderId="2" xfId="0" applyNumberFormat="1" applyBorder="1" applyAlignment="1">
      <alignment vertical="center"/>
    </xf>
    <xf numFmtId="0" fontId="0" fillId="0" borderId="2" xfId="0" applyBorder="1" applyAlignment="1">
      <alignment vertical="center"/>
    </xf>
    <xf numFmtId="164" fontId="0" fillId="0" borderId="2" xfId="0" applyNumberFormat="1" applyBorder="1" applyAlignment="1">
      <alignment vertical="center"/>
    </xf>
    <xf numFmtId="0" fontId="3" fillId="3" borderId="0" xfId="0" applyFont="1" applyFill="1"/>
    <xf numFmtId="0" fontId="4" fillId="2" borderId="0" xfId="0" applyFont="1" applyFill="1"/>
    <xf numFmtId="165" fontId="4" fillId="2" borderId="0" xfId="0" applyNumberFormat="1" applyFont="1" applyFill="1"/>
  </cellXfs>
  <cellStyles count="1">
    <cellStyle name="Normale" xfId="0" builtinId="0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</dxf>
    <dxf>
      <numFmt numFmtId="19" formatCode="dd/mm/yyyy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</dxf>
    <dxf>
      <numFmt numFmtId="19" formatCode="dd/mm/yyyy"/>
    </dxf>
    <dxf>
      <numFmt numFmtId="19" formatCode="dd/mm/yyyy"/>
    </dxf>
    <dxf>
      <numFmt numFmtId="0" formatCode="General"/>
    </dxf>
    <dxf>
      <numFmt numFmtId="164" formatCode="#,##0.00\ [$€-410]"/>
    </dxf>
    <dxf>
      <numFmt numFmtId="164" formatCode="#,##0.00\ [$€-410]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family val="2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480060</xdr:colOff>
          <xdr:row>3</xdr:row>
          <xdr:rowOff>30480</xdr:rowOff>
        </xdr:from>
        <xdr:to>
          <xdr:col>20</xdr:col>
          <xdr:colOff>472440</xdr:colOff>
          <xdr:row>6</xdr:row>
          <xdr:rowOff>114300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16</xdr:row>
          <xdr:rowOff>144780</xdr:rowOff>
        </xdr:from>
        <xdr:to>
          <xdr:col>10</xdr:col>
          <xdr:colOff>327660</xdr:colOff>
          <xdr:row>20</xdr:row>
          <xdr:rowOff>76200</xdr:rowOff>
        </xdr:to>
        <xdr:sp macro="" textlink="">
          <xdr:nvSpPr>
            <xdr:cNvPr id="4101" name="CommandButton3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3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449580</xdr:colOff>
          <xdr:row>9</xdr:row>
          <xdr:rowOff>137160</xdr:rowOff>
        </xdr:from>
        <xdr:to>
          <xdr:col>12</xdr:col>
          <xdr:colOff>388620</xdr:colOff>
          <xdr:row>13</xdr:row>
          <xdr:rowOff>68580</xdr:rowOff>
        </xdr:to>
        <xdr:sp macro="" textlink="">
          <xdr:nvSpPr>
            <xdr:cNvPr id="4102" name="CommandButton2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3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61C4B26-5714-42C3-99EB-F1C3D242E71F}" name="Corsi" displayName="Corsi" ref="A1:K31" totalsRowShown="0" headerRowDxfId="10">
  <autoFilter ref="A1:K31" xr:uid="{661C4B26-5714-42C3-99EB-F1C3D242E71F}"/>
  <sortState xmlns:xlrd2="http://schemas.microsoft.com/office/spreadsheetml/2017/richdata2" ref="A2:K31">
    <sortCondition ref="B1:B31"/>
  </sortState>
  <tableColumns count="11">
    <tableColumn id="1" xr3:uid="{A8A1E475-ABE7-4EB5-855E-466DA9981785}" name="Codice corso" dataDxfId="9">
      <calculatedColumnFormula>LOWER(LEFT(Corsi[[#This Row],[Sede]],1)&amp;RIGHT(Corsi[[#This Row],[Corso]],2)&amp;"-"&amp;LEFT(Corsi[[#This Row],[Corso]],3)&amp;"-"&amp;_xlfn.XLOOKUP(Corsi[[#This Row],[Docente]],Docenti[Nominativo],Docenti[ID],"x",0))</calculatedColumnFormula>
    </tableColumn>
    <tableColumn id="2" xr3:uid="{3E8B86FB-049B-4392-85D7-C909E2946C8B}" name="Corso"/>
    <tableColumn id="3" xr3:uid="{F29E7964-E3C0-4DCB-ACD3-DC469B890488}" name="Materia"/>
    <tableColumn id="11" xr3:uid="{2C750854-8016-47EA-9086-E769AC0EF431}" name="Prezzo orario" dataDxfId="8"/>
    <tableColumn id="4" xr3:uid="{84A42A51-8E95-4179-A2B9-D39D18FE6EA9}" name="Prezzo" dataDxfId="7">
      <calculatedColumnFormula>Corsi[[#This Row],[Durata (h)]]*Corsi[[#This Row],[Prezzo orario]]*IF(Corsi[[#This Row],[Sede]]="Online",0.8,1)</calculatedColumnFormula>
    </tableColumn>
    <tableColumn id="10" xr3:uid="{D79F4689-DFD7-4FF5-A205-561005CBFF00}" name="Ore settimanali" dataDxfId="6"/>
    <tableColumn id="5" xr3:uid="{6D31416C-C1C4-4187-A682-F9AB21117184}" name="Durata (h)">
      <calculatedColumnFormula>INT(DATEDIF(Corsi[[#This Row],[Inizio]],Corsi[[#This Row],[Fine]],"D")/7)*Corsi[[#This Row],[Ore settimanali]]</calculatedColumnFormula>
    </tableColumn>
    <tableColumn id="6" xr3:uid="{2A0431DD-44BB-4B6C-8DE1-ACDF122E4469}" name="Inizio" dataDxfId="5"/>
    <tableColumn id="7" xr3:uid="{B11F8DF7-4E4D-40B1-A2F4-9FCD00245E95}" name="Fine" dataDxfId="4"/>
    <tableColumn id="8" xr3:uid="{FB8C03F5-79C9-4E68-BE65-C543398769EC}" name="Docente"/>
    <tableColumn id="9" xr3:uid="{B5AA051A-12BE-4643-B9EB-6E8435369487}" name="Se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7736B8-C2D3-4032-8554-CD92AB92E98E}" name="Docenti" displayName="Docenti" ref="A1:E11" totalsRowShown="0" headerRowDxfId="3">
  <autoFilter ref="A1:E11" xr:uid="{3B50C2C2-4390-4C45-BF02-3A4C623166F7}"/>
  <tableColumns count="5">
    <tableColumn id="1" xr3:uid="{FDDEF34C-00D2-400A-96FB-E4541CD9832B}" name="Nominativo"/>
    <tableColumn id="6" xr3:uid="{1D331255-C5B8-4475-BA48-9A86FB39CCB9}" name="ID" dataDxfId="2">
      <calculatedColumnFormula>CODE(LEFT(Docenti[[#This Row],[Nominativo]],1))&amp;CODE(LEFT(Docenti[[#This Row],[Nominativo]],4))&amp;Docenti[[#This Row],[Data Nascita]]</calculatedColumnFormula>
    </tableColumn>
    <tableColumn id="2" xr3:uid="{6808CCFD-2E44-444E-96EC-A45045081EFD}" name="Residenza"/>
    <tableColumn id="3" xr3:uid="{D3E06EA3-5503-43D1-A2E0-88D9A840074A}" name="Data Nascita" dataDxfId="1"/>
    <tableColumn id="4" xr3:uid="{FA252CE0-CBAC-4521-8B6D-23689110A3F4}" name="Materi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539C7E5-BD55-41BF-ACA5-F306E72B2B49}" name="Sedi" displayName="Sedi" ref="A1:C5" totalsRowShown="0" headerRowDxfId="0">
  <autoFilter ref="A1:C5" xr:uid="{48CD1520-ADDA-4147-89BF-B155F0B9C88D}"/>
  <tableColumns count="3">
    <tableColumn id="1" xr3:uid="{19F99605-6DA4-42D9-81E4-FB17E9B61371}" name="Aula"/>
    <tableColumn id="2" xr3:uid="{9ABA3E55-64E3-4FFF-BE70-21D99D7C3004}" name="Indirizzo"/>
    <tableColumn id="3" xr3:uid="{9857A1BD-0FD1-4333-867F-79D249D29F2E}" name="Capienza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2F27C9-3F83-4FAD-9AD1-9C19F7B8BB48}">
  <sheetPr codeName="Sheet2"/>
  <dimension ref="A1:K31"/>
  <sheetViews>
    <sheetView zoomScale="120" zoomScaleNormal="120" workbookViewId="0">
      <selection activeCell="A2" sqref="A2"/>
    </sheetView>
  </sheetViews>
  <sheetFormatPr defaultRowHeight="15" customHeight="1" x14ac:dyDescent="0.25"/>
  <cols>
    <col min="1" max="2" width="19.28515625" bestFit="1" customWidth="1"/>
    <col min="3" max="3" width="11.42578125" bestFit="1" customWidth="1"/>
    <col min="4" max="4" width="15.42578125" style="3" bestFit="1" customWidth="1"/>
    <col min="5" max="5" width="12.7109375" customWidth="1"/>
    <col min="6" max="7" width="17.7109375" bestFit="1" customWidth="1"/>
    <col min="8" max="8" width="14.85546875" style="2" customWidth="1"/>
    <col min="9" max="9" width="11.28515625" style="2" bestFit="1" customWidth="1"/>
    <col min="10" max="10" width="18" bestFit="1" customWidth="1"/>
    <col min="11" max="11" width="17.85546875" bestFit="1" customWidth="1"/>
    <col min="12" max="12" width="16.7109375" customWidth="1"/>
    <col min="15" max="15" width="15.42578125" bestFit="1" customWidth="1"/>
  </cols>
  <sheetData>
    <row r="1" spans="1:11" ht="15" customHeight="1" x14ac:dyDescent="0.25">
      <c r="A1" t="s">
        <v>26</v>
      </c>
      <c r="B1" t="s">
        <v>7</v>
      </c>
      <c r="C1" t="s">
        <v>5</v>
      </c>
      <c r="D1" s="3" t="s">
        <v>39</v>
      </c>
      <c r="E1" t="s">
        <v>0</v>
      </c>
      <c r="F1" t="s">
        <v>57</v>
      </c>
      <c r="G1" t="s">
        <v>6</v>
      </c>
      <c r="H1" s="2" t="s">
        <v>1</v>
      </c>
      <c r="I1" s="2" t="s">
        <v>2</v>
      </c>
      <c r="J1" t="s">
        <v>3</v>
      </c>
      <c r="K1" t="s">
        <v>4</v>
      </c>
    </row>
    <row r="2" spans="1:11" ht="15" customHeight="1" x14ac:dyDescent="0.25">
      <c r="A2" t="str">
        <f>LOWER(LEFT(Corsi[[#This Row],[Sede]],1)&amp;RIGHT(Corsi[[#This Row],[Corso]],2)&amp;"-"&amp;LEFT(Corsi[[#This Row],[Corso]],3)&amp;"-"&amp;_xlfn.XLOOKUP(Corsi[[#This Row],[Docente]],Docenti[Nominativo],Docenti[ID],"x",0))</f>
        <v>bsi-ana-777734226</v>
      </c>
      <c r="B2" t="s">
        <v>33</v>
      </c>
      <c r="C2" t="s">
        <v>23</v>
      </c>
      <c r="D2" s="3">
        <v>20</v>
      </c>
      <c r="E2" s="3">
        <f>Corsi[[#This Row],[Durata (h)]]*Corsi[[#This Row],[Prezzo orario]]*IF(Corsi[[#This Row],[Sede]]="Online",0.8,1)</f>
        <v>1440</v>
      </c>
      <c r="F2">
        <v>2</v>
      </c>
      <c r="G2">
        <f>INT(DATEDIF(Corsi[[#This Row],[Inizio]],Corsi[[#This Row],[Fine]],"D")/7)*Corsi[[#This Row],[Ore settimanali]]</f>
        <v>72</v>
      </c>
      <c r="H2" s="2">
        <v>45180</v>
      </c>
      <c r="I2" s="2">
        <v>45434</v>
      </c>
      <c r="J2" t="s">
        <v>20</v>
      </c>
      <c r="K2" t="s">
        <v>8</v>
      </c>
    </row>
    <row r="3" spans="1:11" ht="15" customHeight="1" x14ac:dyDescent="0.25">
      <c r="A3" t="str">
        <f>LOWER(LEFT(Corsi[[#This Row],[Sede]],1)&amp;RIGHT(Corsi[[#This Row],[Corso]],2)&amp;"-"&amp;LEFT(Corsi[[#This Row],[Corso]],3)&amp;"-"&amp;_xlfn.XLOOKUP(Corsi[[#This Row],[Docente]],Docenti[Nominativo],Docenti[ID],"x",0))</f>
        <v>bsi-ana-848429827</v>
      </c>
      <c r="B3" t="s">
        <v>33</v>
      </c>
      <c r="C3" t="s">
        <v>23</v>
      </c>
      <c r="D3" s="3">
        <v>20</v>
      </c>
      <c r="E3" s="3">
        <f>Corsi[[#This Row],[Durata (h)]]*Corsi[[#This Row],[Prezzo orario]]*IF(Corsi[[#This Row],[Sede]]="Online",0.8,1)</f>
        <v>1440</v>
      </c>
      <c r="F3">
        <v>2</v>
      </c>
      <c r="G3">
        <f>INT(DATEDIF(Corsi[[#This Row],[Inizio]],Corsi[[#This Row],[Fine]],"D")/7)*Corsi[[#This Row],[Ore settimanali]]</f>
        <v>72</v>
      </c>
      <c r="H3" s="2">
        <v>45180</v>
      </c>
      <c r="I3" s="2">
        <v>45434</v>
      </c>
      <c r="J3" t="s">
        <v>13</v>
      </c>
      <c r="K3" t="s">
        <v>9</v>
      </c>
    </row>
    <row r="4" spans="1:11" ht="15" customHeight="1" x14ac:dyDescent="0.25">
      <c r="A4" t="str">
        <f>LOWER(LEFT(Corsi[[#This Row],[Sede]],1)&amp;RIGHT(Corsi[[#This Row],[Corso]],2)&amp;"-"&amp;LEFT(Corsi[[#This Row],[Corso]],3)&amp;"-"&amp;_xlfn.XLOOKUP(Corsi[[#This Row],[Docente]],Docenti[Nominativo],Docenti[ID],"x",0))</f>
        <v>osi-ana-777729219</v>
      </c>
      <c r="B4" t="s">
        <v>33</v>
      </c>
      <c r="C4" t="s">
        <v>23</v>
      </c>
      <c r="D4" s="3">
        <v>20</v>
      </c>
      <c r="E4" s="3">
        <f>Corsi[[#This Row],[Durata (h)]]*Corsi[[#This Row],[Prezzo orario]]*IF(Corsi[[#This Row],[Sede]]="Online",0.8,1)</f>
        <v>1152</v>
      </c>
      <c r="F4">
        <v>2</v>
      </c>
      <c r="G4">
        <f>INT(DATEDIF(Corsi[[#This Row],[Inizio]],Corsi[[#This Row],[Fine]],"D")/7)*Corsi[[#This Row],[Ore settimanali]]</f>
        <v>72</v>
      </c>
      <c r="H4" s="2">
        <v>45180</v>
      </c>
      <c r="I4" s="2">
        <v>45434</v>
      </c>
      <c r="J4" t="s">
        <v>17</v>
      </c>
      <c r="K4" t="s">
        <v>10</v>
      </c>
    </row>
    <row r="5" spans="1:11" ht="15" customHeight="1" x14ac:dyDescent="0.25">
      <c r="A5" t="str">
        <f>LOWER(LEFT(Corsi[[#This Row],[Sede]],1)&amp;RIGHT(Corsi[[#This Row],[Corso]],2)&amp;"-"&amp;LEFT(Corsi[[#This Row],[Corso]],3)&amp;"-"&amp;_xlfn.XLOOKUP(Corsi[[#This Row],[Docente]],Docenti[Nominativo],Docenti[ID],"x",0))</f>
        <v>nmo-ele-717124621</v>
      </c>
      <c r="B5" t="s">
        <v>38</v>
      </c>
      <c r="C5" t="s">
        <v>25</v>
      </c>
      <c r="D5" s="3">
        <v>20</v>
      </c>
      <c r="E5" s="3">
        <f>Corsi[[#This Row],[Durata (h)]]*Corsi[[#This Row],[Prezzo orario]]*IF(Corsi[[#This Row],[Sede]]="Online",0.8,1)</f>
        <v>1440</v>
      </c>
      <c r="F5">
        <v>2</v>
      </c>
      <c r="G5">
        <f>INT(DATEDIF(Corsi[[#This Row],[Inizio]],Corsi[[#This Row],[Fine]],"D")/7)*Corsi[[#This Row],[Ore settimanali]]</f>
        <v>72</v>
      </c>
      <c r="H5" s="2">
        <v>45180</v>
      </c>
      <c r="I5" s="2">
        <v>45434</v>
      </c>
      <c r="J5" t="s">
        <v>18</v>
      </c>
      <c r="K5" t="s">
        <v>11</v>
      </c>
    </row>
    <row r="6" spans="1:11" ht="15" customHeight="1" x14ac:dyDescent="0.25">
      <c r="A6" t="str">
        <f>LOWER(LEFT(Corsi[[#This Row],[Sede]],1)&amp;RIGHT(Corsi[[#This Row],[Corso]],2)&amp;"-"&amp;LEFT(Corsi[[#This Row],[Corso]],3)&amp;"-"&amp;_xlfn.XLOOKUP(Corsi[[#This Row],[Docente]],Docenti[Nominativo],Docenti[ID],"x",0))</f>
        <v>omo-ele-656530147</v>
      </c>
      <c r="B6" t="s">
        <v>38</v>
      </c>
      <c r="C6" t="s">
        <v>25</v>
      </c>
      <c r="D6" s="3">
        <v>20</v>
      </c>
      <c r="E6" s="3">
        <f>Corsi[[#This Row],[Durata (h)]]*Corsi[[#This Row],[Prezzo orario]]*IF(Corsi[[#This Row],[Sede]]="Online",0.8,1)</f>
        <v>1152</v>
      </c>
      <c r="F6">
        <v>2</v>
      </c>
      <c r="G6">
        <f>INT(DATEDIF(Corsi[[#This Row],[Inizio]],Corsi[[#This Row],[Fine]],"D")/7)*Corsi[[#This Row],[Ore settimanali]]</f>
        <v>72</v>
      </c>
      <c r="H6" s="2">
        <v>45180</v>
      </c>
      <c r="I6" s="2">
        <v>45434</v>
      </c>
      <c r="J6" t="s">
        <v>21</v>
      </c>
      <c r="K6" t="s">
        <v>10</v>
      </c>
    </row>
    <row r="7" spans="1:11" ht="15" customHeight="1" x14ac:dyDescent="0.25">
      <c r="A7" t="str">
        <f>LOWER(LEFT(Corsi[[#This Row],[Sede]],1)&amp;RIGHT(Corsi[[#This Row],[Corso]],2)&amp;"-"&amp;LEFT(Corsi[[#This Row],[Corso]],3)&amp;"-"&amp;_xlfn.XLOOKUP(Corsi[[#This Row],[Docente]],Docenti[Nominativo],Docenti[ID],"x",0))</f>
        <v>ba2-eng-787828901</v>
      </c>
      <c r="B7" t="s">
        <v>27</v>
      </c>
      <c r="C7" t="s">
        <v>22</v>
      </c>
      <c r="D7" s="3">
        <v>20</v>
      </c>
      <c r="E7" s="3">
        <f>Corsi[[#This Row],[Durata (h)]]*Corsi[[#This Row],[Prezzo orario]]*IF(Corsi[[#This Row],[Sede]]="Online",0.8,1)</f>
        <v>1440</v>
      </c>
      <c r="F7">
        <v>2</v>
      </c>
      <c r="G7">
        <f>INT(DATEDIF(Corsi[[#This Row],[Inizio]],Corsi[[#This Row],[Fine]],"D")/7)*Corsi[[#This Row],[Ore settimanali]]</f>
        <v>72</v>
      </c>
      <c r="H7" s="2">
        <v>45180</v>
      </c>
      <c r="I7" s="2">
        <v>45434</v>
      </c>
      <c r="J7" t="s">
        <v>19</v>
      </c>
      <c r="K7" t="s">
        <v>8</v>
      </c>
    </row>
    <row r="8" spans="1:11" ht="15" customHeight="1" x14ac:dyDescent="0.25">
      <c r="A8" t="str">
        <f>LOWER(LEFT(Corsi[[#This Row],[Sede]],1)&amp;RIGHT(Corsi[[#This Row],[Corso]],2)&amp;"-"&amp;LEFT(Corsi[[#This Row],[Corso]],3)&amp;"-"&amp;_xlfn.XLOOKUP(Corsi[[#This Row],[Docente]],Docenti[Nominativo],Docenti[ID],"x",0))</f>
        <v>na2-eng-676732646</v>
      </c>
      <c r="B8" t="s">
        <v>27</v>
      </c>
      <c r="C8" t="s">
        <v>22</v>
      </c>
      <c r="D8" s="3">
        <v>20</v>
      </c>
      <c r="E8" s="3">
        <f>Corsi[[#This Row],[Durata (h)]]*Corsi[[#This Row],[Prezzo orario]]*IF(Corsi[[#This Row],[Sede]]="Online",0.8,1)</f>
        <v>1440</v>
      </c>
      <c r="F8">
        <v>2</v>
      </c>
      <c r="G8">
        <f>INT(DATEDIF(Corsi[[#This Row],[Inizio]],Corsi[[#This Row],[Fine]],"D")/7)*Corsi[[#This Row],[Ore settimanali]]</f>
        <v>72</v>
      </c>
      <c r="H8" s="2">
        <v>45180</v>
      </c>
      <c r="I8" s="2">
        <v>45434</v>
      </c>
      <c r="J8" t="s">
        <v>12</v>
      </c>
      <c r="K8" t="s">
        <v>11</v>
      </c>
    </row>
    <row r="9" spans="1:11" ht="15" customHeight="1" x14ac:dyDescent="0.25">
      <c r="A9" t="str">
        <f>LOWER(LEFT(Corsi[[#This Row],[Sede]],1)&amp;RIGHT(Corsi[[#This Row],[Corso]],2)&amp;"-"&amp;LEFT(Corsi[[#This Row],[Corso]],3)&amp;"-"&amp;_xlfn.XLOOKUP(Corsi[[#This Row],[Docente]],Docenti[Nominativo],Docenti[ID],"x",0))</f>
        <v>oa2-eng-767631289</v>
      </c>
      <c r="B9" t="s">
        <v>27</v>
      </c>
      <c r="C9" t="s">
        <v>22</v>
      </c>
      <c r="D9" s="3">
        <v>20</v>
      </c>
      <c r="E9" s="3">
        <f>Corsi[[#This Row],[Durata (h)]]*Corsi[[#This Row],[Prezzo orario]]*IF(Corsi[[#This Row],[Sede]]="Online",0.8,1)</f>
        <v>1152</v>
      </c>
      <c r="F9">
        <v>2</v>
      </c>
      <c r="G9">
        <f>INT(DATEDIF(Corsi[[#This Row],[Inizio]],Corsi[[#This Row],[Fine]],"D")/7)*Corsi[[#This Row],[Ore settimanali]]</f>
        <v>72</v>
      </c>
      <c r="H9" s="2">
        <v>45180</v>
      </c>
      <c r="I9" s="2">
        <v>45434</v>
      </c>
      <c r="J9" t="s">
        <v>15</v>
      </c>
      <c r="K9" t="s">
        <v>10</v>
      </c>
    </row>
    <row r="10" spans="1:11" ht="15" customHeight="1" x14ac:dyDescent="0.25">
      <c r="A10" t="str">
        <f>LOWER(LEFT(Corsi[[#This Row],[Sede]],1)&amp;RIGHT(Corsi[[#This Row],[Corso]],2)&amp;"-"&amp;LEFT(Corsi[[#This Row],[Corso]],3)&amp;"-"&amp;_xlfn.XLOOKUP(Corsi[[#This Row],[Docente]],Docenti[Nominativo],Docenti[ID],"x",0))</f>
        <v>bb1-eng-787828901</v>
      </c>
      <c r="B10" t="s">
        <v>28</v>
      </c>
      <c r="C10" t="s">
        <v>22</v>
      </c>
      <c r="D10" s="3">
        <v>20</v>
      </c>
      <c r="E10" s="3">
        <f>Corsi[[#This Row],[Durata (h)]]*Corsi[[#This Row],[Prezzo orario]]*IF(Corsi[[#This Row],[Sede]]="Online",0.8,1)</f>
        <v>1440</v>
      </c>
      <c r="F10">
        <v>2</v>
      </c>
      <c r="G10">
        <f>INT(DATEDIF(Corsi[[#This Row],[Inizio]],Corsi[[#This Row],[Fine]],"D")/7)*Corsi[[#This Row],[Ore settimanali]]</f>
        <v>72</v>
      </c>
      <c r="H10" s="2">
        <v>45180</v>
      </c>
      <c r="I10" s="2">
        <v>45434</v>
      </c>
      <c r="J10" t="s">
        <v>19</v>
      </c>
      <c r="K10" t="s">
        <v>8</v>
      </c>
    </row>
    <row r="11" spans="1:11" ht="15" customHeight="1" x14ac:dyDescent="0.25">
      <c r="A11" t="str">
        <f>LOWER(LEFT(Corsi[[#This Row],[Sede]],1)&amp;RIGHT(Corsi[[#This Row],[Corso]],2)&amp;"-"&amp;LEFT(Corsi[[#This Row],[Corso]],3)&amp;"-"&amp;_xlfn.XLOOKUP(Corsi[[#This Row],[Docente]],Docenti[Nominativo],Docenti[ID],"x",0))</f>
        <v>nb1-eng-676732646</v>
      </c>
      <c r="B11" t="s">
        <v>28</v>
      </c>
      <c r="C11" t="s">
        <v>22</v>
      </c>
      <c r="D11" s="3">
        <v>20</v>
      </c>
      <c r="E11" s="3">
        <f>Corsi[[#This Row],[Durata (h)]]*Corsi[[#This Row],[Prezzo orario]]*IF(Corsi[[#This Row],[Sede]]="Online",0.8,1)</f>
        <v>1440</v>
      </c>
      <c r="F11">
        <v>2</v>
      </c>
      <c r="G11">
        <f>INT(DATEDIF(Corsi[[#This Row],[Inizio]],Corsi[[#This Row],[Fine]],"D")/7)*Corsi[[#This Row],[Ore settimanali]]</f>
        <v>72</v>
      </c>
      <c r="H11" s="2">
        <v>45180</v>
      </c>
      <c r="I11" s="2">
        <v>45434</v>
      </c>
      <c r="J11" t="s">
        <v>12</v>
      </c>
      <c r="K11" t="s">
        <v>11</v>
      </c>
    </row>
    <row r="12" spans="1:11" ht="15" customHeight="1" x14ac:dyDescent="0.25">
      <c r="A12" t="str">
        <f>LOWER(LEFT(Corsi[[#This Row],[Sede]],1)&amp;RIGHT(Corsi[[#This Row],[Corso]],2)&amp;"-"&amp;LEFT(Corsi[[#This Row],[Corso]],3)&amp;"-"&amp;_xlfn.XLOOKUP(Corsi[[#This Row],[Docente]],Docenti[Nominativo],Docenti[ID],"x",0))</f>
        <v>ob1-eng-767631289</v>
      </c>
      <c r="B12" t="s">
        <v>28</v>
      </c>
      <c r="C12" t="s">
        <v>22</v>
      </c>
      <c r="D12" s="3">
        <v>20</v>
      </c>
      <c r="E12" s="3">
        <f>Corsi[[#This Row],[Durata (h)]]*Corsi[[#This Row],[Prezzo orario]]*IF(Corsi[[#This Row],[Sede]]="Online",0.8,1)</f>
        <v>1152</v>
      </c>
      <c r="F12">
        <v>2</v>
      </c>
      <c r="G12">
        <f>INT(DATEDIF(Corsi[[#This Row],[Inizio]],Corsi[[#This Row],[Fine]],"D")/7)*Corsi[[#This Row],[Ore settimanali]]</f>
        <v>72</v>
      </c>
      <c r="H12" s="2">
        <v>45180</v>
      </c>
      <c r="I12" s="2">
        <v>45434</v>
      </c>
      <c r="J12" t="s">
        <v>15</v>
      </c>
      <c r="K12" t="s">
        <v>10</v>
      </c>
    </row>
    <row r="13" spans="1:11" ht="15" customHeight="1" x14ac:dyDescent="0.25">
      <c r="A13" t="str">
        <f>LOWER(LEFT(Corsi[[#This Row],[Sede]],1)&amp;RIGHT(Corsi[[#This Row],[Corso]],2)&amp;"-"&amp;LEFT(Corsi[[#This Row],[Corso]],3)&amp;"-"&amp;_xlfn.XLOOKUP(Corsi[[#This Row],[Docente]],Docenti[Nominativo],Docenti[ID],"x",0))</f>
        <v>bb2-eng-787828901</v>
      </c>
      <c r="B13" t="s">
        <v>29</v>
      </c>
      <c r="C13" t="s">
        <v>22</v>
      </c>
      <c r="D13" s="3">
        <v>20</v>
      </c>
      <c r="E13" s="3">
        <f>Corsi[[#This Row],[Durata (h)]]*Corsi[[#This Row],[Prezzo orario]]*IF(Corsi[[#This Row],[Sede]]="Online",0.8,1)</f>
        <v>1440</v>
      </c>
      <c r="F13">
        <v>2</v>
      </c>
      <c r="G13">
        <f>INT(DATEDIF(Corsi[[#This Row],[Inizio]],Corsi[[#This Row],[Fine]],"D")/7)*Corsi[[#This Row],[Ore settimanali]]</f>
        <v>72</v>
      </c>
      <c r="H13" s="2">
        <v>45180</v>
      </c>
      <c r="I13" s="2">
        <v>45434</v>
      </c>
      <c r="J13" t="s">
        <v>19</v>
      </c>
      <c r="K13" t="s">
        <v>8</v>
      </c>
    </row>
    <row r="14" spans="1:11" ht="15" customHeight="1" x14ac:dyDescent="0.25">
      <c r="A14" t="str">
        <f>LOWER(LEFT(Corsi[[#This Row],[Sede]],1)&amp;RIGHT(Corsi[[#This Row],[Corso]],2)&amp;"-"&amp;LEFT(Corsi[[#This Row],[Corso]],3)&amp;"-"&amp;_xlfn.XLOOKUP(Corsi[[#This Row],[Docente]],Docenti[Nominativo],Docenti[ID],"x",0))</f>
        <v>nb2-eng-676732646</v>
      </c>
      <c r="B14" t="s">
        <v>29</v>
      </c>
      <c r="C14" t="s">
        <v>22</v>
      </c>
      <c r="D14" s="3">
        <v>20</v>
      </c>
      <c r="E14" s="3">
        <f>Corsi[[#This Row],[Durata (h)]]*Corsi[[#This Row],[Prezzo orario]]*IF(Corsi[[#This Row],[Sede]]="Online",0.8,1)</f>
        <v>1440</v>
      </c>
      <c r="F14">
        <v>2</v>
      </c>
      <c r="G14">
        <f>INT(DATEDIF(Corsi[[#This Row],[Inizio]],Corsi[[#This Row],[Fine]],"D")/7)*Corsi[[#This Row],[Ore settimanali]]</f>
        <v>72</v>
      </c>
      <c r="H14" s="2">
        <v>45180</v>
      </c>
      <c r="I14" s="2">
        <v>45434</v>
      </c>
      <c r="J14" t="s">
        <v>12</v>
      </c>
      <c r="K14" t="s">
        <v>11</v>
      </c>
    </row>
    <row r="15" spans="1:11" ht="15" customHeight="1" x14ac:dyDescent="0.25">
      <c r="A15" t="str">
        <f>LOWER(LEFT(Corsi[[#This Row],[Sede]],1)&amp;RIGHT(Corsi[[#This Row],[Corso]],2)&amp;"-"&amp;LEFT(Corsi[[#This Row],[Corso]],3)&amp;"-"&amp;_xlfn.XLOOKUP(Corsi[[#This Row],[Docente]],Docenti[Nominativo],Docenti[ID],"x",0))</f>
        <v>ob2-eng-767631289</v>
      </c>
      <c r="B15" t="s">
        <v>29</v>
      </c>
      <c r="C15" t="s">
        <v>22</v>
      </c>
      <c r="D15" s="3">
        <v>20</v>
      </c>
      <c r="E15" s="3">
        <f>Corsi[[#This Row],[Durata (h)]]*Corsi[[#This Row],[Prezzo orario]]*IF(Corsi[[#This Row],[Sede]]="Online",0.8,1)</f>
        <v>1152</v>
      </c>
      <c r="F15">
        <v>2</v>
      </c>
      <c r="G15">
        <f>INT(DATEDIF(Corsi[[#This Row],[Inizio]],Corsi[[#This Row],[Fine]],"D")/7)*Corsi[[#This Row],[Ore settimanali]]</f>
        <v>72</v>
      </c>
      <c r="H15" s="2">
        <v>45180</v>
      </c>
      <c r="I15" s="2">
        <v>45434</v>
      </c>
      <c r="J15" t="s">
        <v>15</v>
      </c>
      <c r="K15" t="s">
        <v>10</v>
      </c>
    </row>
    <row r="16" spans="1:11" ht="15" customHeight="1" x14ac:dyDescent="0.25">
      <c r="A16" t="str">
        <f>LOWER(LEFT(Corsi[[#This Row],[Sede]],1)&amp;RIGHT(Corsi[[#This Row],[Corso]],2)&amp;"-"&amp;LEFT(Corsi[[#This Row],[Corso]],3)&amp;"-"&amp;_xlfn.XLOOKUP(Corsi[[#This Row],[Docente]],Docenti[Nominativo],Docenti[ID],"x",0))</f>
        <v>bia-geo-777734226</v>
      </c>
      <c r="B16" t="s">
        <v>34</v>
      </c>
      <c r="C16" t="s">
        <v>23</v>
      </c>
      <c r="D16" s="3">
        <v>20</v>
      </c>
      <c r="E16" s="3">
        <f>Corsi[[#This Row],[Durata (h)]]*Corsi[[#This Row],[Prezzo orario]]*IF(Corsi[[#This Row],[Sede]]="Online",0.8,1)</f>
        <v>1440</v>
      </c>
      <c r="F16">
        <v>2</v>
      </c>
      <c r="G16">
        <f>INT(DATEDIF(Corsi[[#This Row],[Inizio]],Corsi[[#This Row],[Fine]],"D")/7)*Corsi[[#This Row],[Ore settimanali]]</f>
        <v>72</v>
      </c>
      <c r="H16" s="2">
        <v>45180</v>
      </c>
      <c r="I16" s="2">
        <v>45434</v>
      </c>
      <c r="J16" t="s">
        <v>20</v>
      </c>
      <c r="K16" t="s">
        <v>8</v>
      </c>
    </row>
    <row r="17" spans="1:11" ht="15" customHeight="1" x14ac:dyDescent="0.25">
      <c r="A17" t="str">
        <f>LOWER(LEFT(Corsi[[#This Row],[Sede]],1)&amp;RIGHT(Corsi[[#This Row],[Corso]],2)&amp;"-"&amp;LEFT(Corsi[[#This Row],[Corso]],3)&amp;"-"&amp;_xlfn.XLOOKUP(Corsi[[#This Row],[Docente]],Docenti[Nominativo],Docenti[ID],"x",0))</f>
        <v>bia-geo-848429827</v>
      </c>
      <c r="B17" t="s">
        <v>34</v>
      </c>
      <c r="C17" t="s">
        <v>23</v>
      </c>
      <c r="D17" s="3">
        <v>20</v>
      </c>
      <c r="E17" s="3">
        <f>Corsi[[#This Row],[Durata (h)]]*Corsi[[#This Row],[Prezzo orario]]*IF(Corsi[[#This Row],[Sede]]="Online",0.8,1)</f>
        <v>1440</v>
      </c>
      <c r="F17">
        <v>2</v>
      </c>
      <c r="G17">
        <f>INT(DATEDIF(Corsi[[#This Row],[Inizio]],Corsi[[#This Row],[Fine]],"D")/7)*Corsi[[#This Row],[Ore settimanali]]</f>
        <v>72</v>
      </c>
      <c r="H17" s="2">
        <v>45180</v>
      </c>
      <c r="I17" s="2">
        <v>45434</v>
      </c>
      <c r="J17" t="s">
        <v>13</v>
      </c>
      <c r="K17" t="s">
        <v>9</v>
      </c>
    </row>
    <row r="18" spans="1:11" ht="15" customHeight="1" x14ac:dyDescent="0.25">
      <c r="A18" t="str">
        <f>LOWER(LEFT(Corsi[[#This Row],[Sede]],1)&amp;RIGHT(Corsi[[#This Row],[Corso]],2)&amp;"-"&amp;LEFT(Corsi[[#This Row],[Corso]],3)&amp;"-"&amp;_xlfn.XLOOKUP(Corsi[[#This Row],[Docente]],Docenti[Nominativo],Docenti[ID],"x",0))</f>
        <v>oia-geo-777729219</v>
      </c>
      <c r="B18" t="s">
        <v>34</v>
      </c>
      <c r="C18" t="s">
        <v>23</v>
      </c>
      <c r="D18" s="3">
        <v>20</v>
      </c>
      <c r="E18" s="3">
        <f>Corsi[[#This Row],[Durata (h)]]*Corsi[[#This Row],[Prezzo orario]]*IF(Corsi[[#This Row],[Sede]]="Online",0.8,1)</f>
        <v>1152</v>
      </c>
      <c r="F18">
        <v>2</v>
      </c>
      <c r="G18">
        <f>INT(DATEDIF(Corsi[[#This Row],[Inizio]],Corsi[[#This Row],[Fine]],"D")/7)*Corsi[[#This Row],[Ore settimanali]]</f>
        <v>72</v>
      </c>
      <c r="H18" s="2">
        <v>45180</v>
      </c>
      <c r="I18" s="2">
        <v>45434</v>
      </c>
      <c r="J18" t="s">
        <v>17</v>
      </c>
      <c r="K18" t="s">
        <v>10</v>
      </c>
    </row>
    <row r="19" spans="1:11" ht="15" customHeight="1" x14ac:dyDescent="0.25">
      <c r="A19" t="str">
        <f>LOWER(LEFT(Corsi[[#This Row],[Sede]],1)&amp;RIGHT(Corsi[[#This Row],[Corso]],2)&amp;"-"&amp;LEFT(Corsi[[#This Row],[Corso]],3)&amp;"-"&amp;_xlfn.XLOOKUP(Corsi[[#This Row],[Docente]],Docenti[Nominativo],Docenti[ID],"x",0))</f>
        <v>bca-gra-808030797</v>
      </c>
      <c r="B19" t="s">
        <v>31</v>
      </c>
      <c r="C19" t="s">
        <v>24</v>
      </c>
      <c r="D19" s="3">
        <v>20</v>
      </c>
      <c r="E19" s="3">
        <f>Corsi[[#This Row],[Durata (h)]]*Corsi[[#This Row],[Prezzo orario]]*IF(Corsi[[#This Row],[Sede]]="Online",0.8,1)</f>
        <v>720</v>
      </c>
      <c r="F19">
        <v>1</v>
      </c>
      <c r="G19">
        <f>INT(DATEDIF(Corsi[[#This Row],[Inizio]],Corsi[[#This Row],[Fine]],"D")/7)*Corsi[[#This Row],[Ore settimanali]]</f>
        <v>36</v>
      </c>
      <c r="H19" s="2">
        <v>45180</v>
      </c>
      <c r="I19" s="2">
        <v>45434</v>
      </c>
      <c r="J19" t="s">
        <v>16</v>
      </c>
      <c r="K19" t="s">
        <v>8</v>
      </c>
    </row>
    <row r="20" spans="1:11" ht="15" customHeight="1" x14ac:dyDescent="0.25">
      <c r="A20" t="str">
        <f>LOWER(LEFT(Corsi[[#This Row],[Sede]],1)&amp;RIGHT(Corsi[[#This Row],[Corso]],2)&amp;"-"&amp;LEFT(Corsi[[#This Row],[Corso]],3)&amp;"-"&amp;_xlfn.XLOOKUP(Corsi[[#This Row],[Docente]],Docenti[Nominativo],Docenti[ID],"x",0))</f>
        <v>bca-gra-838325936</v>
      </c>
      <c r="B20" t="s">
        <v>31</v>
      </c>
      <c r="C20" t="s">
        <v>24</v>
      </c>
      <c r="D20" s="3">
        <v>20</v>
      </c>
      <c r="E20" s="3">
        <f>Corsi[[#This Row],[Durata (h)]]*Corsi[[#This Row],[Prezzo orario]]*IF(Corsi[[#This Row],[Sede]]="Online",0.8,1)</f>
        <v>720</v>
      </c>
      <c r="F20">
        <v>1</v>
      </c>
      <c r="G20">
        <f>INT(DATEDIF(Corsi[[#This Row],[Inizio]],Corsi[[#This Row],[Fine]],"D")/7)*Corsi[[#This Row],[Ore settimanali]]</f>
        <v>36</v>
      </c>
      <c r="H20" s="2">
        <v>45180</v>
      </c>
      <c r="I20" s="2">
        <v>45434</v>
      </c>
      <c r="J20" t="s">
        <v>14</v>
      </c>
      <c r="K20" t="s">
        <v>9</v>
      </c>
    </row>
    <row r="21" spans="1:11" ht="15" customHeight="1" x14ac:dyDescent="0.25">
      <c r="A21" t="str">
        <f>LOWER(LEFT(Corsi[[#This Row],[Sede]],1)&amp;RIGHT(Corsi[[#This Row],[Corso]],2)&amp;"-"&amp;LEFT(Corsi[[#This Row],[Corso]],3)&amp;"-"&amp;_xlfn.XLOOKUP(Corsi[[#This Row],[Docente]],Docenti[Nominativo],Docenti[ID],"x",0))</f>
        <v>bri-ita-808030797</v>
      </c>
      <c r="B21" t="s">
        <v>32</v>
      </c>
      <c r="C21" t="s">
        <v>24</v>
      </c>
      <c r="D21" s="3">
        <v>20</v>
      </c>
      <c r="E21" s="3">
        <f>Corsi[[#This Row],[Durata (h)]]*Corsi[[#This Row],[Prezzo orario]]*IF(Corsi[[#This Row],[Sede]]="Online",0.8,1)</f>
        <v>720</v>
      </c>
      <c r="F21">
        <v>1</v>
      </c>
      <c r="G21">
        <f>INT(DATEDIF(Corsi[[#This Row],[Inizio]],Corsi[[#This Row],[Fine]],"D")/7)*Corsi[[#This Row],[Ore settimanali]]</f>
        <v>36</v>
      </c>
      <c r="H21" s="2">
        <v>45180</v>
      </c>
      <c r="I21" s="2">
        <v>45434</v>
      </c>
      <c r="J21" t="s">
        <v>16</v>
      </c>
      <c r="K21" t="s">
        <v>8</v>
      </c>
    </row>
    <row r="22" spans="1:11" ht="15" customHeight="1" x14ac:dyDescent="0.25">
      <c r="A22" t="str">
        <f>LOWER(LEFT(Corsi[[#This Row],[Sede]],1)&amp;RIGHT(Corsi[[#This Row],[Corso]],2)&amp;"-"&amp;LEFT(Corsi[[#This Row],[Corso]],3)&amp;"-"&amp;_xlfn.XLOOKUP(Corsi[[#This Row],[Docente]],Docenti[Nominativo],Docenti[ID],"x",0))</f>
        <v>bri-ita-838325936</v>
      </c>
      <c r="B22" t="s">
        <v>32</v>
      </c>
      <c r="C22" t="s">
        <v>24</v>
      </c>
      <c r="D22" s="3">
        <v>20</v>
      </c>
      <c r="E22" s="3">
        <f>Corsi[[#This Row],[Durata (h)]]*Corsi[[#This Row],[Prezzo orario]]*IF(Corsi[[#This Row],[Sede]]="Online",0.8,1)</f>
        <v>720</v>
      </c>
      <c r="F22">
        <v>1</v>
      </c>
      <c r="G22">
        <f>INT(DATEDIF(Corsi[[#This Row],[Inizio]],Corsi[[#This Row],[Fine]],"D")/7)*Corsi[[#This Row],[Ore settimanali]]</f>
        <v>36</v>
      </c>
      <c r="H22" s="2">
        <v>45180</v>
      </c>
      <c r="I22" s="2">
        <v>45434</v>
      </c>
      <c r="J22" t="s">
        <v>14</v>
      </c>
      <c r="K22" t="s">
        <v>9</v>
      </c>
    </row>
    <row r="23" spans="1:11" ht="15" customHeight="1" x14ac:dyDescent="0.25">
      <c r="A23" t="str">
        <f>LOWER(LEFT(Corsi[[#This Row],[Sede]],1)&amp;RIGHT(Corsi[[#This Row],[Corso]],2)&amp;"-"&amp;LEFT(Corsi[[#This Row],[Corso]],3)&amp;"-"&amp;_xlfn.XLOOKUP(Corsi[[#This Row],[Docente]],Docenti[Nominativo],Docenti[ID],"x",0))</f>
        <v>bra-let-808030797</v>
      </c>
      <c r="B23" t="s">
        <v>30</v>
      </c>
      <c r="C23" t="s">
        <v>24</v>
      </c>
      <c r="D23" s="3">
        <v>20</v>
      </c>
      <c r="E23" s="3">
        <f>Corsi[[#This Row],[Durata (h)]]*Corsi[[#This Row],[Prezzo orario]]*IF(Corsi[[#This Row],[Sede]]="Online",0.8,1)</f>
        <v>720</v>
      </c>
      <c r="F23">
        <v>1</v>
      </c>
      <c r="G23">
        <f>INT(DATEDIF(Corsi[[#This Row],[Inizio]],Corsi[[#This Row],[Fine]],"D")/7)*Corsi[[#This Row],[Ore settimanali]]</f>
        <v>36</v>
      </c>
      <c r="H23" s="2">
        <v>45180</v>
      </c>
      <c r="I23" s="2">
        <v>45434</v>
      </c>
      <c r="J23" t="s">
        <v>16</v>
      </c>
      <c r="K23" t="s">
        <v>8</v>
      </c>
    </row>
    <row r="24" spans="1:11" ht="15" customHeight="1" x14ac:dyDescent="0.25">
      <c r="A24" t="str">
        <f>LOWER(LEFT(Corsi[[#This Row],[Sede]],1)&amp;RIGHT(Corsi[[#This Row],[Corso]],2)&amp;"-"&amp;LEFT(Corsi[[#This Row],[Corso]],3)&amp;"-"&amp;_xlfn.XLOOKUP(Corsi[[#This Row],[Docente]],Docenti[Nominativo],Docenti[ID],"x",0))</f>
        <v>bra-let-838325936</v>
      </c>
      <c r="B24" t="s">
        <v>30</v>
      </c>
      <c r="C24" t="s">
        <v>24</v>
      </c>
      <c r="D24" s="3">
        <v>20</v>
      </c>
      <c r="E24" s="3">
        <f>Corsi[[#This Row],[Durata (h)]]*Corsi[[#This Row],[Prezzo orario]]*IF(Corsi[[#This Row],[Sede]]="Online",0.8,1)</f>
        <v>720</v>
      </c>
      <c r="F24">
        <v>1</v>
      </c>
      <c r="G24">
        <f>INT(DATEDIF(Corsi[[#This Row],[Inizio]],Corsi[[#This Row],[Fine]],"D")/7)*Corsi[[#This Row],[Ore settimanali]]</f>
        <v>36</v>
      </c>
      <c r="H24" s="2">
        <v>45180</v>
      </c>
      <c r="I24" s="2">
        <v>45434</v>
      </c>
      <c r="J24" t="s">
        <v>14</v>
      </c>
      <c r="K24" t="s">
        <v>9</v>
      </c>
    </row>
    <row r="25" spans="1:11" ht="15" customHeight="1" x14ac:dyDescent="0.25">
      <c r="A25" t="str">
        <f>LOWER(LEFT(Corsi[[#This Row],[Sede]],1)&amp;RIGHT(Corsi[[#This Row],[Corso]],2)&amp;"-"&amp;LEFT(Corsi[[#This Row],[Corso]],3)&amp;"-"&amp;_xlfn.XLOOKUP(Corsi[[#This Row],[Docente]],Docenti[Nominativo],Docenti[ID],"x",0))</f>
        <v>nca-mec-717124621</v>
      </c>
      <c r="B25" t="s">
        <v>36</v>
      </c>
      <c r="C25" t="s">
        <v>25</v>
      </c>
      <c r="D25" s="3">
        <v>20</v>
      </c>
      <c r="E25" s="3">
        <f>Corsi[[#This Row],[Durata (h)]]*Corsi[[#This Row],[Prezzo orario]]*IF(Corsi[[#This Row],[Sede]]="Online",0.8,1)</f>
        <v>720</v>
      </c>
      <c r="F25">
        <v>1</v>
      </c>
      <c r="G25">
        <f>INT(DATEDIF(Corsi[[#This Row],[Inizio]],Corsi[[#This Row],[Fine]],"D")/7)*Corsi[[#This Row],[Ore settimanali]]</f>
        <v>36</v>
      </c>
      <c r="H25" s="2">
        <v>45180</v>
      </c>
      <c r="I25" s="2">
        <v>45434</v>
      </c>
      <c r="J25" t="s">
        <v>18</v>
      </c>
      <c r="K25" t="s">
        <v>11</v>
      </c>
    </row>
    <row r="26" spans="1:11" ht="15" customHeight="1" x14ac:dyDescent="0.25">
      <c r="A26" t="str">
        <f>LOWER(LEFT(Corsi[[#This Row],[Sede]],1)&amp;RIGHT(Corsi[[#This Row],[Corso]],2)&amp;"-"&amp;LEFT(Corsi[[#This Row],[Corso]],3)&amp;"-"&amp;_xlfn.XLOOKUP(Corsi[[#This Row],[Docente]],Docenti[Nominativo],Docenti[ID],"x",0))</f>
        <v>oca-mec-656530147</v>
      </c>
      <c r="B26" t="s">
        <v>36</v>
      </c>
      <c r="C26" t="s">
        <v>25</v>
      </c>
      <c r="D26" s="3">
        <v>20</v>
      </c>
      <c r="E26" s="3">
        <f>Corsi[[#This Row],[Durata (h)]]*Corsi[[#This Row],[Prezzo orario]]*IF(Corsi[[#This Row],[Sede]]="Online",0.8,1)</f>
        <v>576</v>
      </c>
      <c r="F26">
        <v>1</v>
      </c>
      <c r="G26">
        <f>INT(DATEDIF(Corsi[[#This Row],[Inizio]],Corsi[[#This Row],[Fine]],"D")/7)*Corsi[[#This Row],[Ore settimanali]]</f>
        <v>36</v>
      </c>
      <c r="H26" s="2">
        <v>45180</v>
      </c>
      <c r="I26" s="2">
        <v>45434</v>
      </c>
      <c r="J26" t="s">
        <v>21</v>
      </c>
      <c r="K26" t="s">
        <v>10</v>
      </c>
    </row>
    <row r="27" spans="1:11" ht="15" customHeight="1" x14ac:dyDescent="0.25">
      <c r="A27" t="str">
        <f>LOWER(LEFT(Corsi[[#This Row],[Sede]],1)&amp;RIGHT(Corsi[[#This Row],[Corso]],2)&amp;"-"&amp;LEFT(Corsi[[#This Row],[Corso]],3)&amp;"-"&amp;_xlfn.XLOOKUP(Corsi[[#This Row],[Docente]],Docenti[Nominativo],Docenti[ID],"x",0))</f>
        <v>nca-ter-717124621</v>
      </c>
      <c r="B27" t="s">
        <v>37</v>
      </c>
      <c r="C27" t="s">
        <v>25</v>
      </c>
      <c r="D27" s="3">
        <v>20</v>
      </c>
      <c r="E27" s="3">
        <f>Corsi[[#This Row],[Durata (h)]]*Corsi[[#This Row],[Prezzo orario]]*IF(Corsi[[#This Row],[Sede]]="Online",0.8,1)</f>
        <v>720</v>
      </c>
      <c r="F27">
        <v>1</v>
      </c>
      <c r="G27">
        <f>INT(DATEDIF(Corsi[[#This Row],[Inizio]],Corsi[[#This Row],[Fine]],"D")/7)*Corsi[[#This Row],[Ore settimanali]]</f>
        <v>36</v>
      </c>
      <c r="H27" s="2">
        <v>45180</v>
      </c>
      <c r="I27" s="2">
        <v>45434</v>
      </c>
      <c r="J27" t="s">
        <v>18</v>
      </c>
      <c r="K27" t="s">
        <v>11</v>
      </c>
    </row>
    <row r="28" spans="1:11" ht="15" customHeight="1" x14ac:dyDescent="0.25">
      <c r="A28" t="str">
        <f>LOWER(LEFT(Corsi[[#This Row],[Sede]],1)&amp;RIGHT(Corsi[[#This Row],[Corso]],2)&amp;"-"&amp;LEFT(Corsi[[#This Row],[Corso]],3)&amp;"-"&amp;_xlfn.XLOOKUP(Corsi[[#This Row],[Docente]],Docenti[Nominativo],Docenti[ID],"x",0))</f>
        <v>oca-ter-656530147</v>
      </c>
      <c r="B28" t="s">
        <v>37</v>
      </c>
      <c r="C28" t="s">
        <v>25</v>
      </c>
      <c r="D28" s="3">
        <v>20</v>
      </c>
      <c r="E28" s="3">
        <f>Corsi[[#This Row],[Durata (h)]]*Corsi[[#This Row],[Prezzo orario]]*IF(Corsi[[#This Row],[Sede]]="Online",0.8,1)</f>
        <v>576</v>
      </c>
      <c r="F28">
        <v>1</v>
      </c>
      <c r="G28">
        <f>INT(DATEDIF(Corsi[[#This Row],[Inizio]],Corsi[[#This Row],[Fine]],"D")/7)*Corsi[[#This Row],[Ore settimanali]]</f>
        <v>36</v>
      </c>
      <c r="H28" s="2">
        <v>45180</v>
      </c>
      <c r="I28" s="2">
        <v>45434</v>
      </c>
      <c r="J28" t="s">
        <v>21</v>
      </c>
      <c r="K28" t="s">
        <v>10</v>
      </c>
    </row>
    <row r="29" spans="1:11" ht="15" customHeight="1" x14ac:dyDescent="0.25">
      <c r="A29" t="str">
        <f>LOWER(LEFT(Corsi[[#This Row],[Sede]],1)&amp;RIGHT(Corsi[[#This Row],[Corso]],2)&amp;"-"&amp;LEFT(Corsi[[#This Row],[Corso]],3)&amp;"-"&amp;_xlfn.XLOOKUP(Corsi[[#This Row],[Docente]],Docenti[Nominativo],Docenti[ID],"x",0))</f>
        <v>bia-tri-777734226</v>
      </c>
      <c r="B29" t="s">
        <v>35</v>
      </c>
      <c r="C29" t="s">
        <v>23</v>
      </c>
      <c r="D29" s="3">
        <v>20</v>
      </c>
      <c r="E29" s="3">
        <f>Corsi[[#This Row],[Durata (h)]]*Corsi[[#This Row],[Prezzo orario]]*IF(Corsi[[#This Row],[Sede]]="Online",0.8,1)</f>
        <v>720</v>
      </c>
      <c r="F29">
        <v>1</v>
      </c>
      <c r="G29">
        <f>INT(DATEDIF(Corsi[[#This Row],[Inizio]],Corsi[[#This Row],[Fine]],"D")/7)*Corsi[[#This Row],[Ore settimanali]]</f>
        <v>36</v>
      </c>
      <c r="H29" s="2">
        <v>45180</v>
      </c>
      <c r="I29" s="2">
        <v>45434</v>
      </c>
      <c r="J29" t="s">
        <v>20</v>
      </c>
      <c r="K29" t="s">
        <v>8</v>
      </c>
    </row>
    <row r="30" spans="1:11" ht="15" customHeight="1" x14ac:dyDescent="0.25">
      <c r="A30" t="str">
        <f>LOWER(LEFT(Corsi[[#This Row],[Sede]],1)&amp;RIGHT(Corsi[[#This Row],[Corso]],2)&amp;"-"&amp;LEFT(Corsi[[#This Row],[Corso]],3)&amp;"-"&amp;_xlfn.XLOOKUP(Corsi[[#This Row],[Docente]],Docenti[Nominativo],Docenti[ID],"x",0))</f>
        <v>bia-tri-848429827</v>
      </c>
      <c r="B30" t="s">
        <v>35</v>
      </c>
      <c r="C30" t="s">
        <v>23</v>
      </c>
      <c r="D30" s="3">
        <v>20</v>
      </c>
      <c r="E30" s="3">
        <f>Corsi[[#This Row],[Durata (h)]]*Corsi[[#This Row],[Prezzo orario]]*IF(Corsi[[#This Row],[Sede]]="Online",0.8,1)</f>
        <v>720</v>
      </c>
      <c r="F30">
        <v>1</v>
      </c>
      <c r="G30">
        <f>INT(DATEDIF(Corsi[[#This Row],[Inizio]],Corsi[[#This Row],[Fine]],"D")/7)*Corsi[[#This Row],[Ore settimanali]]</f>
        <v>36</v>
      </c>
      <c r="H30" s="2">
        <v>45180</v>
      </c>
      <c r="I30" s="2">
        <v>45434</v>
      </c>
      <c r="J30" t="s">
        <v>13</v>
      </c>
      <c r="K30" t="s">
        <v>9</v>
      </c>
    </row>
    <row r="31" spans="1:11" ht="15" customHeight="1" x14ac:dyDescent="0.25">
      <c r="A31" t="str">
        <f>LOWER(LEFT(Corsi[[#This Row],[Sede]],1)&amp;RIGHT(Corsi[[#This Row],[Corso]],2)&amp;"-"&amp;LEFT(Corsi[[#This Row],[Corso]],3)&amp;"-"&amp;_xlfn.XLOOKUP(Corsi[[#This Row],[Docente]],Docenti[Nominativo],Docenti[ID],"x",0))</f>
        <v>oia-tri-777729219</v>
      </c>
      <c r="B31" t="s">
        <v>35</v>
      </c>
      <c r="C31" t="s">
        <v>23</v>
      </c>
      <c r="D31" s="3">
        <v>20</v>
      </c>
      <c r="E31" s="3">
        <f>Corsi[[#This Row],[Durata (h)]]*Corsi[[#This Row],[Prezzo orario]]*IF(Corsi[[#This Row],[Sede]]="Online",0.8,1)</f>
        <v>576</v>
      </c>
      <c r="F31">
        <v>1</v>
      </c>
      <c r="G31">
        <f>INT(DATEDIF(Corsi[[#This Row],[Inizio]],Corsi[[#This Row],[Fine]],"D")/7)*Corsi[[#This Row],[Ore settimanali]]</f>
        <v>36</v>
      </c>
      <c r="H31" s="2">
        <v>45180</v>
      </c>
      <c r="I31" s="2">
        <v>45434</v>
      </c>
      <c r="J31" t="s">
        <v>17</v>
      </c>
      <c r="K31" t="s">
        <v>10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42F9C-BC8F-46E7-8B5C-8DD505C1CD02}">
  <sheetPr codeName="Sheet3"/>
  <dimension ref="A1:E11"/>
  <sheetViews>
    <sheetView workbookViewId="0"/>
  </sheetViews>
  <sheetFormatPr defaultRowHeight="15" customHeight="1" x14ac:dyDescent="0.25"/>
  <cols>
    <col min="1" max="1" width="17.7109375" bestFit="1" customWidth="1"/>
    <col min="2" max="2" width="17.7109375" customWidth="1"/>
    <col min="3" max="4" width="14.5703125" customWidth="1"/>
    <col min="5" max="5" width="15.140625" customWidth="1"/>
  </cols>
  <sheetData>
    <row r="1" spans="1:5" ht="15" customHeight="1" x14ac:dyDescent="0.25">
      <c r="A1" t="s">
        <v>40</v>
      </c>
      <c r="B1" t="s">
        <v>41</v>
      </c>
      <c r="C1" t="s">
        <v>42</v>
      </c>
      <c r="D1" t="s">
        <v>43</v>
      </c>
      <c r="E1" t="s">
        <v>5</v>
      </c>
    </row>
    <row r="2" spans="1:5" ht="15" customHeight="1" x14ac:dyDescent="0.25">
      <c r="A2" t="s">
        <v>12</v>
      </c>
      <c r="B2" t="str">
        <f>CODE(LEFT(Docenti[[#This Row],[Nominativo]],1))&amp;CODE(LEFT(Docenti[[#This Row],[Nominativo]],4))&amp;Docenti[[#This Row],[Data Nascita]]</f>
        <v>676732646</v>
      </c>
      <c r="C2" t="s">
        <v>44</v>
      </c>
      <c r="D2" s="2">
        <v>32646</v>
      </c>
      <c r="E2" t="s">
        <v>22</v>
      </c>
    </row>
    <row r="3" spans="1:5" ht="15" customHeight="1" x14ac:dyDescent="0.25">
      <c r="A3" t="s">
        <v>13</v>
      </c>
      <c r="B3" t="str">
        <f>CODE(LEFT(Docenti[[#This Row],[Nominativo]],1))&amp;CODE(LEFT(Docenti[[#This Row],[Nominativo]],4))&amp;Docenti[[#This Row],[Data Nascita]]</f>
        <v>848429827</v>
      </c>
      <c r="C3" t="s">
        <v>9</v>
      </c>
      <c r="D3" s="2">
        <v>29827</v>
      </c>
      <c r="E3" t="s">
        <v>23</v>
      </c>
    </row>
    <row r="4" spans="1:5" ht="15" customHeight="1" x14ac:dyDescent="0.25">
      <c r="A4" t="s">
        <v>14</v>
      </c>
      <c r="B4" t="str">
        <f>CODE(LEFT(Docenti[[#This Row],[Nominativo]],1))&amp;CODE(LEFT(Docenti[[#This Row],[Nominativo]],4))&amp;Docenti[[#This Row],[Data Nascita]]</f>
        <v>838325936</v>
      </c>
      <c r="C4" t="s">
        <v>45</v>
      </c>
      <c r="D4" s="2">
        <v>25936</v>
      </c>
      <c r="E4" t="s">
        <v>24</v>
      </c>
    </row>
    <row r="5" spans="1:5" ht="15" customHeight="1" x14ac:dyDescent="0.25">
      <c r="A5" t="s">
        <v>15</v>
      </c>
      <c r="B5" t="str">
        <f>CODE(LEFT(Docenti[[#This Row],[Nominativo]],1))&amp;CODE(LEFT(Docenti[[#This Row],[Nominativo]],4))&amp;Docenti[[#This Row],[Data Nascita]]</f>
        <v>767631289</v>
      </c>
      <c r="C5" t="s">
        <v>46</v>
      </c>
      <c r="D5" s="2">
        <v>31289</v>
      </c>
      <c r="E5" t="s">
        <v>22</v>
      </c>
    </row>
    <row r="6" spans="1:5" ht="15" customHeight="1" x14ac:dyDescent="0.25">
      <c r="A6" t="s">
        <v>16</v>
      </c>
      <c r="B6" t="str">
        <f>CODE(LEFT(Docenti[[#This Row],[Nominativo]],1))&amp;CODE(LEFT(Docenti[[#This Row],[Nominativo]],4))&amp;Docenti[[#This Row],[Data Nascita]]</f>
        <v>808030797</v>
      </c>
      <c r="C6" t="s">
        <v>8</v>
      </c>
      <c r="D6" s="2">
        <v>30797</v>
      </c>
      <c r="E6" t="s">
        <v>24</v>
      </c>
    </row>
    <row r="7" spans="1:5" ht="15" customHeight="1" x14ac:dyDescent="0.25">
      <c r="A7" t="s">
        <v>17</v>
      </c>
      <c r="B7" t="str">
        <f>CODE(LEFT(Docenti[[#This Row],[Nominativo]],1))&amp;CODE(LEFT(Docenti[[#This Row],[Nominativo]],4))&amp;Docenti[[#This Row],[Data Nascita]]</f>
        <v>777729219</v>
      </c>
      <c r="C7" t="s">
        <v>47</v>
      </c>
      <c r="D7" s="2">
        <v>29219</v>
      </c>
      <c r="E7" t="s">
        <v>23</v>
      </c>
    </row>
    <row r="8" spans="1:5" ht="15" customHeight="1" x14ac:dyDescent="0.25">
      <c r="A8" t="s">
        <v>18</v>
      </c>
      <c r="B8" t="str">
        <f>CODE(LEFT(Docenti[[#This Row],[Nominativo]],1))&amp;CODE(LEFT(Docenti[[#This Row],[Nominativo]],4))&amp;Docenti[[#This Row],[Data Nascita]]</f>
        <v>717124621</v>
      </c>
      <c r="C8" t="s">
        <v>11</v>
      </c>
      <c r="D8" s="2">
        <v>24621</v>
      </c>
      <c r="E8" t="s">
        <v>25</v>
      </c>
    </row>
    <row r="9" spans="1:5" ht="15" customHeight="1" x14ac:dyDescent="0.25">
      <c r="A9" t="s">
        <v>19</v>
      </c>
      <c r="B9" t="str">
        <f>CODE(LEFT(Docenti[[#This Row],[Nominativo]],1))&amp;CODE(LEFT(Docenti[[#This Row],[Nominativo]],4))&amp;Docenti[[#This Row],[Data Nascita]]</f>
        <v>787828901</v>
      </c>
      <c r="C9" t="s">
        <v>48</v>
      </c>
      <c r="D9" s="2">
        <v>28901</v>
      </c>
      <c r="E9" t="s">
        <v>22</v>
      </c>
    </row>
    <row r="10" spans="1:5" ht="15" customHeight="1" x14ac:dyDescent="0.25">
      <c r="A10" t="s">
        <v>20</v>
      </c>
      <c r="B10" t="str">
        <f>CODE(LEFT(Docenti[[#This Row],[Nominativo]],1))&amp;CODE(LEFT(Docenti[[#This Row],[Nominativo]],4))&amp;Docenti[[#This Row],[Data Nascita]]</f>
        <v>777734226</v>
      </c>
      <c r="C10" t="s">
        <v>8</v>
      </c>
      <c r="D10" s="2">
        <v>34226</v>
      </c>
      <c r="E10" t="s">
        <v>23</v>
      </c>
    </row>
    <row r="11" spans="1:5" ht="15" customHeight="1" x14ac:dyDescent="0.25">
      <c r="A11" t="s">
        <v>21</v>
      </c>
      <c r="B11" t="str">
        <f>CODE(LEFT(Docenti[[#This Row],[Nominativo]],1))&amp;CODE(LEFT(Docenti[[#This Row],[Nominativo]],4))&amp;Docenti[[#This Row],[Data Nascita]]</f>
        <v>656530147</v>
      </c>
      <c r="C11" t="s">
        <v>49</v>
      </c>
      <c r="D11" s="2">
        <v>30147</v>
      </c>
      <c r="E11" t="s">
        <v>25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F2D6F-66F1-4375-B3E4-8AA4541EEF7C}">
  <sheetPr codeName="Sheet4"/>
  <dimension ref="A1:C5"/>
  <sheetViews>
    <sheetView workbookViewId="0">
      <selection activeCell="E27" sqref="E27"/>
    </sheetView>
  </sheetViews>
  <sheetFormatPr defaultRowHeight="15" customHeight="1" x14ac:dyDescent="0.25"/>
  <cols>
    <col min="2" max="2" width="18" bestFit="1" customWidth="1"/>
    <col min="3" max="3" width="11.7109375" customWidth="1"/>
  </cols>
  <sheetData>
    <row r="1" spans="1:3" ht="15" customHeight="1" x14ac:dyDescent="0.25">
      <c r="A1" t="s">
        <v>50</v>
      </c>
      <c r="B1" t="s">
        <v>51</v>
      </c>
      <c r="C1" t="s">
        <v>52</v>
      </c>
    </row>
    <row r="2" spans="1:3" ht="15" customHeight="1" x14ac:dyDescent="0.25">
      <c r="A2" t="s">
        <v>8</v>
      </c>
      <c r="B2" t="s">
        <v>53</v>
      </c>
      <c r="C2">
        <v>30</v>
      </c>
    </row>
    <row r="3" spans="1:3" ht="15" customHeight="1" x14ac:dyDescent="0.25">
      <c r="A3" t="s">
        <v>9</v>
      </c>
      <c r="B3" t="s">
        <v>54</v>
      </c>
      <c r="C3">
        <v>22</v>
      </c>
    </row>
    <row r="4" spans="1:3" ht="15" customHeight="1" x14ac:dyDescent="0.25">
      <c r="A4" t="s">
        <v>11</v>
      </c>
      <c r="B4" t="s">
        <v>55</v>
      </c>
      <c r="C4">
        <v>15</v>
      </c>
    </row>
    <row r="5" spans="1:3" ht="15" customHeight="1" x14ac:dyDescent="0.25">
      <c r="A5" t="s">
        <v>10</v>
      </c>
      <c r="B5" t="s">
        <v>56</v>
      </c>
      <c r="C5">
        <v>35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A8993-7D5B-4005-8EBB-E3AE7AFDA1A6}">
  <sheetPr codeName="Sheet1"/>
  <dimension ref="C4:Q20"/>
  <sheetViews>
    <sheetView zoomScale="120" zoomScaleNormal="120" workbookViewId="0">
      <selection activeCell="C20" sqref="C20"/>
    </sheetView>
  </sheetViews>
  <sheetFormatPr defaultRowHeight="12" x14ac:dyDescent="0.25"/>
  <cols>
    <col min="1" max="2" width="2.5703125" customWidth="1"/>
    <col min="3" max="3" width="19.85546875" bestFit="1" customWidth="1"/>
    <col min="5" max="5" width="9.5703125" customWidth="1"/>
    <col min="7" max="7" width="14.28515625" bestFit="1" customWidth="1"/>
    <col min="9" max="9" width="11.28515625" bestFit="1" customWidth="1"/>
    <col min="11" max="11" width="10.140625" customWidth="1"/>
    <col min="13" max="13" width="15.140625" bestFit="1" customWidth="1"/>
    <col min="15" max="15" width="14.85546875" bestFit="1" customWidth="1"/>
    <col min="17" max="17" width="12.7109375" bestFit="1" customWidth="1"/>
  </cols>
  <sheetData>
    <row r="4" spans="3:17" ht="12.6" thickBot="1" x14ac:dyDescent="0.3"/>
    <row r="5" spans="3:17" ht="12.6" thickBot="1" x14ac:dyDescent="0.3">
      <c r="C5" s="4" t="s">
        <v>58</v>
      </c>
      <c r="D5" s="1"/>
      <c r="E5" s="4" t="s">
        <v>5</v>
      </c>
      <c r="G5" s="4" t="s">
        <v>59</v>
      </c>
      <c r="I5" s="4" t="s">
        <v>60</v>
      </c>
      <c r="K5" s="4" t="s">
        <v>4</v>
      </c>
      <c r="M5" s="4" t="s">
        <v>3</v>
      </c>
      <c r="O5" s="4" t="s">
        <v>57</v>
      </c>
      <c r="Q5" s="4" t="s">
        <v>39</v>
      </c>
    </row>
    <row r="6" spans="3:17" x14ac:dyDescent="0.25">
      <c r="C6" s="6"/>
      <c r="E6" s="5"/>
      <c r="G6" s="7"/>
      <c r="I6" s="7"/>
      <c r="K6" s="8"/>
      <c r="M6" s="5"/>
      <c r="O6" s="8"/>
      <c r="Q6" s="9"/>
    </row>
    <row r="11" spans="3:17" ht="12.6" thickBot="1" x14ac:dyDescent="0.3"/>
    <row r="12" spans="3:17" ht="12.6" thickBot="1" x14ac:dyDescent="0.3">
      <c r="C12" s="4" t="s">
        <v>62</v>
      </c>
      <c r="D12" s="1"/>
      <c r="E12" s="4" t="s">
        <v>5</v>
      </c>
      <c r="G12" s="4" t="s">
        <v>63</v>
      </c>
      <c r="I12" s="4" t="s">
        <v>42</v>
      </c>
    </row>
    <row r="13" spans="3:17" x14ac:dyDescent="0.25">
      <c r="C13" s="6"/>
      <c r="E13" s="5"/>
      <c r="G13" s="7"/>
      <c r="I13" s="7"/>
    </row>
    <row r="18" spans="3:7" ht="12.6" thickBot="1" x14ac:dyDescent="0.3"/>
    <row r="19" spans="3:7" ht="12.6" thickBot="1" x14ac:dyDescent="0.3">
      <c r="C19" s="4" t="s">
        <v>64</v>
      </c>
      <c r="E19" s="4" t="s">
        <v>51</v>
      </c>
      <c r="G19" s="4" t="s">
        <v>52</v>
      </c>
    </row>
    <row r="20" spans="3:7" x14ac:dyDescent="0.25">
      <c r="C20" s="6"/>
      <c r="E20" s="6"/>
      <c r="G20" s="6"/>
    </row>
  </sheetData>
  <dataValidations count="9">
    <dataValidation type="date" operator="greaterThan" allowBlank="1" showInputMessage="1" showErrorMessage="1" sqref="I6" xr:uid="{B9C44D2C-86AC-4C43-B133-64EC2CE4B5DB}">
      <formula1>G6</formula1>
    </dataValidation>
    <dataValidation type="date" operator="greaterThan" allowBlank="1" showInputMessage="1" showErrorMessage="1" sqref="G6" xr:uid="{B30B4DF6-3FE6-4986-8F01-3E0F123A1B37}">
      <formula1>TODAY()-1</formula1>
    </dataValidation>
    <dataValidation type="list" allowBlank="1" showInputMessage="1" showErrorMessage="1" sqref="E6 E13" xr:uid="{B6428196-881E-494A-9AB8-914CA87EDD6E}">
      <formula1>Lista_Materie</formula1>
    </dataValidation>
    <dataValidation type="list" allowBlank="1" showInputMessage="1" showErrorMessage="1" sqref="K6 K13" xr:uid="{F4E4A5D9-5F5D-4307-8B1B-395F8AECCB7C}">
      <formula1>Lista_Sedi</formula1>
    </dataValidation>
    <dataValidation type="list" allowBlank="1" showInputMessage="1" showErrorMessage="1" sqref="M6 M13" xr:uid="{C100A56E-208E-4E57-AEC0-42EF1B6F741A}">
      <formula1>Lista_Docenti</formula1>
    </dataValidation>
    <dataValidation type="whole" allowBlank="1" showInputMessage="1" showErrorMessage="1" sqref="O6 O13" xr:uid="{6C4B31D3-46BE-4A2F-8311-3A4D8962A489}">
      <formula1>1</formula1>
      <formula2>12</formula2>
    </dataValidation>
    <dataValidation type="date" operator="greaterThan" allowBlank="1" showInputMessage="1" showErrorMessage="1" sqref="G13" xr:uid="{1CD64D6A-EAF3-4345-BA24-A3FF9B2A860E}">
      <formula1>1</formula1>
    </dataValidation>
    <dataValidation operator="greaterThan" allowBlank="1" showInputMessage="1" showErrorMessage="1" sqref="I13" xr:uid="{F6BDBDDC-FCCF-407A-858E-D78856F69D7A}"/>
    <dataValidation type="whole" allowBlank="1" showInputMessage="1" showErrorMessage="1" sqref="G20" xr:uid="{DC70477F-8597-487B-BE12-AD76BBDBE9DD}">
      <formula1>1</formula1>
      <formula2>150</formula2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17</xdr:col>
                <xdr:colOff>480060</xdr:colOff>
                <xdr:row>3</xdr:row>
                <xdr:rowOff>30480</xdr:rowOff>
              </from>
              <to>
                <xdr:col>20</xdr:col>
                <xdr:colOff>472440</xdr:colOff>
                <xdr:row>6</xdr:row>
                <xdr:rowOff>114300</xdr:rowOff>
              </to>
            </anchor>
          </controlPr>
        </control>
      </mc:Choice>
      <mc:Fallback>
        <control shapeId="4097" r:id="rId3" name="CommandButton1"/>
      </mc:Fallback>
    </mc:AlternateContent>
    <mc:AlternateContent xmlns:mc="http://schemas.openxmlformats.org/markup-compatibility/2006">
      <mc:Choice Requires="x14">
        <control shapeId="4101" r:id="rId5" name="CommandButton3">
          <controlPr defaultSize="0" autoLine="0" r:id="rId6">
            <anchor moveWithCells="1">
              <from>
                <xdr:col>7</xdr:col>
                <xdr:colOff>457200</xdr:colOff>
                <xdr:row>16</xdr:row>
                <xdr:rowOff>144780</xdr:rowOff>
              </from>
              <to>
                <xdr:col>10</xdr:col>
                <xdr:colOff>327660</xdr:colOff>
                <xdr:row>20</xdr:row>
                <xdr:rowOff>76200</xdr:rowOff>
              </to>
            </anchor>
          </controlPr>
        </control>
      </mc:Choice>
      <mc:Fallback>
        <control shapeId="4101" r:id="rId5" name="CommandButton3"/>
      </mc:Fallback>
    </mc:AlternateContent>
    <mc:AlternateContent xmlns:mc="http://schemas.openxmlformats.org/markup-compatibility/2006">
      <mc:Choice Requires="x14">
        <control shapeId="4102" r:id="rId7" name="CommandButton2">
          <controlPr defaultSize="0" autoLine="0" r:id="rId8">
            <anchor moveWithCells="1">
              <from>
                <xdr:col>9</xdr:col>
                <xdr:colOff>449580</xdr:colOff>
                <xdr:row>9</xdr:row>
                <xdr:rowOff>137160</xdr:rowOff>
              </from>
              <to>
                <xdr:col>12</xdr:col>
                <xdr:colOff>388620</xdr:colOff>
                <xdr:row>13</xdr:row>
                <xdr:rowOff>68580</xdr:rowOff>
              </to>
            </anchor>
          </controlPr>
        </control>
      </mc:Choice>
      <mc:Fallback>
        <control shapeId="4102" r:id="rId7" name="CommandButton2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3BCABC-8C23-4282-8B74-D50C71288A8C}">
  <dimension ref="B2:O7"/>
  <sheetViews>
    <sheetView tabSelected="1" workbookViewId="0">
      <selection activeCell="B3" sqref="B3"/>
    </sheetView>
  </sheetViews>
  <sheetFormatPr defaultRowHeight="14.4" x14ac:dyDescent="0.3"/>
  <cols>
    <col min="1" max="1" width="9.140625" style="11"/>
    <col min="2" max="2" width="19.85546875" style="11" bestFit="1" customWidth="1"/>
    <col min="3" max="3" width="22.85546875" style="11" bestFit="1" customWidth="1"/>
    <col min="4" max="4" width="3.42578125" style="11" customWidth="1"/>
    <col min="5" max="5" width="9.7109375" style="11" bestFit="1" customWidth="1"/>
    <col min="6" max="6" width="14.140625" style="11" bestFit="1" customWidth="1"/>
    <col min="7" max="7" width="3.42578125" style="11" customWidth="1"/>
    <col min="8" max="8" width="9.140625" style="11"/>
    <col min="9" max="9" width="9.5703125" style="11" customWidth="1"/>
    <col min="10" max="10" width="3.42578125" style="11" customWidth="1"/>
    <col min="11" max="11" width="12" style="11" bestFit="1" customWidth="1"/>
    <col min="12" max="12" width="14.85546875" style="11" customWidth="1"/>
    <col min="13" max="13" width="3.42578125" style="11" customWidth="1"/>
    <col min="14" max="14" width="12.5703125" style="11" customWidth="1"/>
    <col min="15" max="16384" width="9.140625" style="11"/>
  </cols>
  <sheetData>
    <row r="2" spans="2:15" x14ac:dyDescent="0.3">
      <c r="B2" s="10" t="s">
        <v>3</v>
      </c>
    </row>
    <row r="3" spans="2:15" x14ac:dyDescent="0.3">
      <c r="B3" s="11" t="s">
        <v>21</v>
      </c>
    </row>
    <row r="5" spans="2:15" x14ac:dyDescent="0.3">
      <c r="B5" s="10" t="s">
        <v>7</v>
      </c>
      <c r="C5" s="11" t="str" cm="1">
        <f t="array" ref="C5:C7">_xlfn._xlws.FILTER(Corsi[Corso], B3=Corsi[Docente])</f>
        <v>Elettromagnetismo</v>
      </c>
      <c r="E5" s="10" t="s">
        <v>5</v>
      </c>
      <c r="F5" s="11" t="str" cm="1">
        <f t="array" ref="F5:F7">_xlfn._xlws.FILTER(Corsi[Materia],B3=Corsi[Docente])</f>
        <v>Fisica</v>
      </c>
      <c r="H5" s="10" t="s">
        <v>4</v>
      </c>
      <c r="I5" s="11" t="str" cm="1">
        <f t="array" ref="I5:I7">_xlfn._xlws.FILTER(Corsi[Sede], B3=Corsi[Docente])</f>
        <v>Online</v>
      </c>
      <c r="K5" s="10" t="s">
        <v>0</v>
      </c>
      <c r="L5" s="12" cm="1">
        <f t="array" ref="L5:L7">_xlfn._xlws.FILTER(Corsi[Prezzo],B3=Corsi[Docente])</f>
        <v>1152</v>
      </c>
      <c r="N5" s="10" t="s">
        <v>6</v>
      </c>
      <c r="O5" s="11" cm="1">
        <f t="array" ref="O5:O7">_xlfn._xlws.FILTER(Corsi[Durata (h)],B3=Corsi[Docente])</f>
        <v>72</v>
      </c>
    </row>
    <row r="6" spans="2:15" x14ac:dyDescent="0.3">
      <c r="C6" s="11" t="str">
        <v>Meccanica</v>
      </c>
      <c r="F6" s="11" t="str">
        <v>Fisica</v>
      </c>
      <c r="I6" s="11" t="str">
        <v>Online</v>
      </c>
      <c r="L6" s="12">
        <v>576</v>
      </c>
      <c r="O6" s="11">
        <v>36</v>
      </c>
    </row>
    <row r="7" spans="2:15" x14ac:dyDescent="0.3">
      <c r="C7" s="11" t="str">
        <v>Termodinamica</v>
      </c>
      <c r="F7" s="11" t="str">
        <v>Fisica</v>
      </c>
      <c r="I7" s="11" t="str">
        <v>Online</v>
      </c>
      <c r="L7" s="12">
        <v>576</v>
      </c>
      <c r="O7" s="11">
        <v>36</v>
      </c>
    </row>
  </sheetData>
  <dataValidations count="1">
    <dataValidation type="list" allowBlank="1" showInputMessage="1" showErrorMessage="1" sqref="B3" xr:uid="{8AD5FCF3-4E9B-4BEE-A4D4-F41217550825}">
      <formula1>Lista_Docenti</formula1>
    </dataValidation>
  </dataValidations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01C1DB-DCE2-4B78-A81C-7343192DA8E9}">
  <sheetPr codeName="Sheet5"/>
  <dimension ref="A1:A5"/>
  <sheetViews>
    <sheetView workbookViewId="0"/>
  </sheetViews>
  <sheetFormatPr defaultRowHeight="12" x14ac:dyDescent="0.25"/>
  <cols>
    <col min="1" max="1" width="11.42578125" bestFit="1" customWidth="1"/>
  </cols>
  <sheetData>
    <row r="1" spans="1:1" x14ac:dyDescent="0.25">
      <c r="A1" s="1" t="s">
        <v>61</v>
      </c>
    </row>
    <row r="2" spans="1:1" x14ac:dyDescent="0.25">
      <c r="A2" t="str" cm="1">
        <f t="array" ref="A2:A5">_xlfn.UNIQUE(Corsi[Materia])</f>
        <v>Matematica</v>
      </c>
    </row>
    <row r="3" spans="1:1" x14ac:dyDescent="0.25">
      <c r="A3" t="str">
        <v>Fisica</v>
      </c>
    </row>
    <row r="4" spans="1:1" x14ac:dyDescent="0.25">
      <c r="A4" t="str">
        <v>Inglese</v>
      </c>
    </row>
    <row r="5" spans="1:1" x14ac:dyDescent="0.25">
      <c r="A5" t="str">
        <v>Italiano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6</vt:i4>
      </vt:variant>
      <vt:variant>
        <vt:lpstr>Intervalli denominati</vt:lpstr>
      </vt:variant>
      <vt:variant>
        <vt:i4>2</vt:i4>
      </vt:variant>
    </vt:vector>
  </HeadingPairs>
  <TitlesOfParts>
    <vt:vector size="8" baseType="lpstr">
      <vt:lpstr>Corsi</vt:lpstr>
      <vt:lpstr>Docenti</vt:lpstr>
      <vt:lpstr>Sedi</vt:lpstr>
      <vt:lpstr>Maschera d'inserimento</vt:lpstr>
      <vt:lpstr>Maschera di ricerca</vt:lpstr>
      <vt:lpstr>Foglio tecnico</vt:lpstr>
      <vt:lpstr>Lista_Docenti</vt:lpstr>
      <vt:lpstr>Lista_Sedi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Mara Cuomo</dc:creator>
  <cp:lastModifiedBy>Mara Cuomo</cp:lastModifiedBy>
  <dcterms:created xsi:type="dcterms:W3CDTF">2023-03-28T20:10:23Z</dcterms:created>
  <dcterms:modified xsi:type="dcterms:W3CDTF">2023-03-30T11:38:46Z</dcterms:modified>
</cp:coreProperties>
</file>